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BC33BE-6381-473B-BBF4-22B955E3802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OLUTIONS" sheetId="4" r:id="rId3"/>
  </sheets>
  <definedNames>
    <definedName name="_xlnm._FilterDatabase" localSheetId="1" hidden="1">Dataset!$F$1:$F$1000</definedName>
    <definedName name="ExternalData_1" localSheetId="2" hidden="1">SOLUTIONS!$A$1:$G$35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D2" i="4" l="1"/>
  <c r="I2" i="4"/>
  <c r="H3" i="4"/>
  <c r="H2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FA9D42-705C-4D24-BC56-C02C0A85E859}" keepAlive="1" name="Query - SOLUTIONS" description="Connection to the 'SOLUTIONS' query in the workbook." type="5" refreshedVersion="7" background="1" saveData="1">
    <dbPr connection="Provider=Microsoft.Mashup.OleDb.1;Data Source=$Workbook$;Location=SOLUTIONS;Extended Properties=&quot;&quot;" command="SELECT * FROM [SOLUTIONS]"/>
  </connection>
</connections>
</file>

<file path=xl/sharedStrings.xml><?xml version="1.0" encoding="utf-8"?>
<sst xmlns="http://schemas.openxmlformats.org/spreadsheetml/2006/main" count="290" uniqueCount="120">
  <si>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</si>
  <si>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</si>
  <si>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</si>
  <si>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</si>
  <si>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</si>
  <si>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</si>
  <si>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</si>
  <si>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</si>
  <si>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</si>
  <si>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</si>
  <si>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</si>
  <si>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</si>
  <si>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</si>
  <si>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</si>
  <si>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</si>
  <si>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</si>
  <si>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</si>
  <si>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</si>
  <si>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</si>
  <si>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</si>
  <si>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</si>
  <si>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</si>
  <si>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</si>
  <si>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</si>
  <si>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</si>
  <si>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</si>
  <si>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</si>
  <si>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</si>
  <si>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</si>
  <si>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</si>
  <si>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</si>
  <si>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</si>
  <si>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</si>
  <si>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</si>
  <si>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</si>
  <si>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</si>
  <si>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</si>
  <si>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</si>
  <si>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</si>
  <si>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</si>
  <si>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</si>
  <si>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</si>
  <si>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</si>
  <si>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</si>
  <si>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</si>
  <si>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</si>
  <si>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</si>
  <si>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</si>
  <si>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</si>
  <si>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</si>
  <si>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</si>
  <si>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</si>
  <si>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</si>
  <si>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</si>
  <si>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</si>
  <si>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</si>
  <si>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</si>
  <si>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</si>
  <si>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</si>
  <si>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</si>
  <si>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</si>
  <si>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</si>
  <si>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</si>
  <si>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</si>
  <si>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</si>
  <si>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</si>
  <si>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</si>
  <si>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</si>
  <si>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</si>
  <si>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</si>
  <si>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</si>
  <si>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</si>
  <si>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</si>
  <si>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</si>
  <si>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</si>
  <si>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</si>
  <si>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</si>
  <si>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</si>
  <si>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</si>
  <si>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</si>
  <si>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</si>
  <si>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</si>
  <si>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</si>
  <si>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</si>
  <si>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</si>
  <si>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</si>
  <si>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</si>
  <si>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</si>
  <si>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</si>
  <si>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</si>
  <si>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</si>
  <si>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</si>
  <si>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</si>
  <si>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</si>
  <si>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</si>
  <si>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</si>
  <si>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</si>
  <si>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</si>
  <si>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</si>
  <si>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</si>
  <si>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</si>
  <si>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</si>
  <si>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</si>
  <si>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</si>
  <si>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</si>
  <si>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</si>
  <si>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</si>
  <si>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</si>
  <si>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</si>
  <si>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</si>
  <si>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</si>
  <si>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</si>
  <si>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</si>
  <si>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</si>
  <si>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</si>
  <si>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</si>
  <si>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</si>
  <si>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Manufacturing Date</t>
  </si>
  <si>
    <t>Country code</t>
  </si>
  <si>
    <t xml:space="preserve">Product Brand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</si>
</sst>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NumberFormat="1" applyFont="1" applyAlignment="1"/>
    <xf numFmtId="164" fontId="0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A7F8FE-C8F8-41FE-9FBC-AD07BF6026E5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Product ID" tableColumnId="1"/>
      <queryTableField id="2" name="Product Name" tableColumnId="2"/>
      <queryTableField id="3" name="Brand Name" tableColumnId="3"/>
      <queryTableField id="9" dataBound="0" tableColumnId="9"/>
      <queryTableField id="4" name="Price ($)" tableColumnId="4"/>
      <queryTableField id="5" name="Quantity" tableColumnId="5"/>
      <queryTableField id="6" name="Category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C4DA9-B06E-44D1-925D-1D52A1804341}" name="SOLUTIONS" displayName="SOLUTIONS" ref="A1:I35" tableType="queryTable" totalsRowShown="0">
  <autoFilter ref="A1:I35" xr:uid="{4F4C4DA9-B06E-44D1-925D-1D52A1804341}"/>
  <tableColumns count="9">
    <tableColumn id="1" xr3:uid="{9C07093B-FDB4-4ED8-9C4D-37E4F2610165}" uniqueName="1" name="Product ID" queryTableFieldId="1" dataDxfId="7"/>
    <tableColumn id="2" xr3:uid="{3223DBAD-6ECE-4E01-A8EC-311861090CDB}" uniqueName="2" name="Product Name" queryTableFieldId="2" dataDxfId="6"/>
    <tableColumn id="3" xr3:uid="{39A1C687-C430-4365-9D07-1E9786C2C01C}" uniqueName="3" name="Brand Name" queryTableFieldId="3" dataDxfId="5"/>
    <tableColumn id="9" xr3:uid="{1056A075-3BA3-4E1F-8308-CA475536D847}" uniqueName="9" name="Product Brand " queryTableFieldId="9" dataDxfId="4">
      <calculatedColumnFormula>SOLUTIONS[[#This Row],[Brand Name]]&amp;" "&amp;SOLUTIONS[[#This Row],[Product Name]]</calculatedColumnFormula>
    </tableColumn>
    <tableColumn id="4" xr3:uid="{C73DDCAC-9271-4AF8-BCF9-7FC275FA703C}" uniqueName="4" name="Price ($)" queryTableFieldId="4" dataDxfId="3"/>
    <tableColumn id="5" xr3:uid="{D6A94A4C-234A-4F11-8CBA-ED4E84AAB061}" uniqueName="5" name="Quantity" queryTableFieldId="5"/>
    <tableColumn id="6" xr3:uid="{D9AB4DEB-5932-419B-AE79-8C41940F2BD5}" uniqueName="6" name="Category" queryTableFieldId="6" dataDxfId="2"/>
    <tableColumn id="7" xr3:uid="{10537148-A3C3-4438-85A3-9FB9A7AC7A63}" uniqueName="7" name="Manufacturing Date" queryTableFieldId="7" dataDxfId="0">
      <calculatedColumnFormula>LEFT(SOLUTIONS[[#This Row],[Product ID]],6)</calculatedColumnFormula>
    </tableColumn>
    <tableColumn id="8" xr3:uid="{E4CF316A-2CE2-4EB2-A6DF-1ECBAFEEBDC9}" uniqueName="8" name="Country code" queryTableFieldId="8" dataDxfId="1">
      <calculatedColumnFormula>RIGHT(SOLUTIONS[[#This Row],[Product ID]],2)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B1" zoomScale="86" zoomScaleNormal="86" workbookViewId="0">
      <selection activeCell="B7" sqref="B7:D7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3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3" workbookViewId="0">
      <selection activeCell="F5" sqref="F5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F1:F100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F083-BD92-4EDE-BEEF-939837BB2AA1}">
  <dimension ref="A1:I35"/>
  <sheetViews>
    <sheetView tabSelected="1" topLeftCell="B1" workbookViewId="0">
      <selection activeCell="G3" sqref="G3"/>
    </sheetView>
  </sheetViews>
  <sheetFormatPr defaultRowHeight="12.5" x14ac:dyDescent="0.25"/>
  <cols>
    <col min="1" max="1" width="12.1796875" bestFit="1" customWidth="1"/>
    <col min="2" max="2" width="15.36328125" bestFit="1" customWidth="1"/>
    <col min="3" max="3" width="13.6328125" bestFit="1" customWidth="1"/>
    <col min="4" max="4" width="21.6328125" customWidth="1"/>
    <col min="5" max="5" width="10.453125" bestFit="1" customWidth="1"/>
    <col min="6" max="6" width="10.90625" bestFit="1" customWidth="1"/>
    <col min="7" max="7" width="21.90625" style="14" customWidth="1"/>
    <col min="8" max="8" width="16.6328125" customWidth="1"/>
  </cols>
  <sheetData>
    <row r="1" spans="1:9" x14ac:dyDescent="0.25">
      <c r="A1" t="s">
        <v>19</v>
      </c>
      <c r="B1" t="s">
        <v>20</v>
      </c>
      <c r="C1" t="s">
        <v>21</v>
      </c>
      <c r="D1" t="s">
        <v>119</v>
      </c>
      <c r="E1" t="s">
        <v>22</v>
      </c>
      <c r="F1" t="s">
        <v>23</v>
      </c>
      <c r="G1" s="14" t="s">
        <v>24</v>
      </c>
      <c r="H1" t="s">
        <v>117</v>
      </c>
      <c r="I1" t="s">
        <v>118</v>
      </c>
    </row>
    <row r="2" spans="1:9" x14ac:dyDescent="0.25">
      <c r="A2" s="12" t="s">
        <v>25</v>
      </c>
      <c r="B2" s="12" t="s">
        <v>61</v>
      </c>
      <c r="C2" s="12" t="s">
        <v>27</v>
      </c>
      <c r="D2" s="12" t="str">
        <f>SOLUTIONS[[#This Row],[Brand Name]]&amp;" "&amp;SOLUTIONS[[#This Row],[Product Name]]</f>
        <v>Dell Laptop</v>
      </c>
      <c r="E2" s="13">
        <v>1000</v>
      </c>
      <c r="F2">
        <v>30</v>
      </c>
      <c r="G2" s="14" t="s">
        <v>28</v>
      </c>
      <c r="H2" s="12" t="str">
        <f>SOLUTIONS!H3</f>
        <v>15-FEB</v>
      </c>
      <c r="I2" s="12" t="str">
        <f>RIGHT(SOLUTIONS[[#This Row],[Product ID]],2)</f>
        <v>US</v>
      </c>
    </row>
    <row r="3" spans="1:9" x14ac:dyDescent="0.25">
      <c r="A3" s="12" t="s">
        <v>29</v>
      </c>
      <c r="B3" s="12" t="s">
        <v>30</v>
      </c>
      <c r="C3" s="12" t="s">
        <v>31</v>
      </c>
      <c r="D3" s="12" t="str">
        <f>SOLUTIONS[[#This Row],[Brand Name]]&amp;" "&amp;SOLUTIONS[[#This Row],[Product Name]]</f>
        <v>Nike Sneakers</v>
      </c>
      <c r="E3" s="13">
        <v>80</v>
      </c>
      <c r="F3">
        <v>15</v>
      </c>
      <c r="G3" s="14" t="s">
        <v>32</v>
      </c>
      <c r="H3" s="12" t="str">
        <f>LEFT(SOLUTIONS[[#This Row],[Product ID]],6)</f>
        <v>15-FEB</v>
      </c>
      <c r="I3" s="12" t="str">
        <f>RIGHT(SOLUTIONS[[#This Row],[Product ID]],2)</f>
        <v>US</v>
      </c>
    </row>
    <row r="4" spans="1:9" x14ac:dyDescent="0.25">
      <c r="A4" s="12" t="s">
        <v>33</v>
      </c>
      <c r="B4" s="12" t="s">
        <v>34</v>
      </c>
      <c r="C4" s="12" t="s">
        <v>35</v>
      </c>
      <c r="D4" s="12" t="str">
        <f>SOLUTIONS[[#This Row],[Brand Name]]&amp;" "&amp;SOLUTIONS[[#This Row],[Product Name]]</f>
        <v>Keurig Coffee Maker</v>
      </c>
      <c r="E4" s="13">
        <v>130</v>
      </c>
      <c r="F4">
        <v>40</v>
      </c>
      <c r="G4" s="14" t="s">
        <v>36</v>
      </c>
      <c r="H4" s="12" t="str">
        <f>LEFT(SOLUTIONS[[#This Row],[Product ID]],6)</f>
        <v>03-MAR</v>
      </c>
      <c r="I4" s="12" t="str">
        <f>RIGHT(SOLUTIONS[[#This Row],[Product ID]],2)</f>
        <v>US</v>
      </c>
    </row>
    <row r="5" spans="1:9" x14ac:dyDescent="0.25">
      <c r="A5" s="12" t="s">
        <v>37</v>
      </c>
      <c r="B5" s="12" t="s">
        <v>96</v>
      </c>
      <c r="C5" s="12" t="s">
        <v>39</v>
      </c>
      <c r="D5" s="12" t="str">
        <f>SOLUTIONS[[#This Row],[Brand Name]]&amp;" "&amp;SOLUTIONS[[#This Row],[Product Name]]</f>
        <v>Samsung Smartphone</v>
      </c>
      <c r="E5" s="13">
        <v>900</v>
      </c>
      <c r="F5">
        <v>25</v>
      </c>
      <c r="G5" s="14" t="s">
        <v>28</v>
      </c>
      <c r="H5" s="12" t="str">
        <f>LEFT(SOLUTIONS[[#This Row],[Product ID]],6)</f>
        <v>11-APR</v>
      </c>
      <c r="I5" s="12" t="str">
        <f>RIGHT(SOLUTIONS[[#This Row],[Product ID]],2)</f>
        <v>US</v>
      </c>
    </row>
    <row r="6" spans="1:9" x14ac:dyDescent="0.25">
      <c r="A6" s="12" t="s">
        <v>40</v>
      </c>
      <c r="B6" s="12" t="s">
        <v>41</v>
      </c>
      <c r="C6" s="12" t="s">
        <v>42</v>
      </c>
      <c r="D6" s="12" t="str">
        <f>SOLUTIONS[[#This Row],[Brand Name]]&amp;" "&amp;SOLUTIONS[[#This Row],[Product Name]]</f>
        <v>North Face Backpack</v>
      </c>
      <c r="E6" s="13">
        <v>70</v>
      </c>
      <c r="F6">
        <v>20</v>
      </c>
      <c r="G6" s="14" t="s">
        <v>75</v>
      </c>
      <c r="H6" s="12" t="str">
        <f>LEFT(SOLUTIONS[[#This Row],[Product ID]],6)</f>
        <v>22-MAY</v>
      </c>
      <c r="I6" s="12" t="str">
        <f>RIGHT(SOLUTIONS[[#This Row],[Product ID]],2)</f>
        <v>US</v>
      </c>
    </row>
    <row r="7" spans="1:9" x14ac:dyDescent="0.25">
      <c r="A7" s="12" t="s">
        <v>43</v>
      </c>
      <c r="B7" s="12" t="s">
        <v>44</v>
      </c>
      <c r="C7" s="12" t="s">
        <v>45</v>
      </c>
      <c r="D7" s="12" t="str">
        <f>SOLUTIONS[[#This Row],[Brand Name]]&amp;" "&amp;SOLUTIONS[[#This Row],[Product Name]]</f>
        <v>Sony Headphones</v>
      </c>
      <c r="E7" s="13">
        <v>130</v>
      </c>
      <c r="F7">
        <v>45</v>
      </c>
      <c r="G7" s="14" t="s">
        <v>46</v>
      </c>
      <c r="H7" s="12" t="str">
        <f>LEFT(SOLUTIONS[[#This Row],[Product ID]],6)</f>
        <v>07-JUN</v>
      </c>
      <c r="I7" s="12" t="str">
        <f>RIGHT(SOLUTIONS[[#This Row],[Product ID]],2)</f>
        <v>UK</v>
      </c>
    </row>
    <row r="8" spans="1:9" x14ac:dyDescent="0.25">
      <c r="A8" s="12" t="s">
        <v>47</v>
      </c>
      <c r="B8" s="12" t="s">
        <v>116</v>
      </c>
      <c r="C8" s="12" t="s">
        <v>49</v>
      </c>
      <c r="D8" s="12" t="str">
        <f>SOLUTIONS[[#This Row],[Brand Name]]&amp;" "&amp;SOLUTIONS[[#This Row],[Product Name]]</f>
        <v>Adidas T-Shirt</v>
      </c>
      <c r="E8" s="13">
        <v>30</v>
      </c>
      <c r="F8">
        <v>5</v>
      </c>
      <c r="G8" s="14" t="s">
        <v>32</v>
      </c>
      <c r="H8" s="12" t="str">
        <f>LEFT(SOLUTIONS[[#This Row],[Product ID]],6)</f>
        <v>19-JUL</v>
      </c>
      <c r="I8" s="12" t="str">
        <f>RIGHT(SOLUTIONS[[#This Row],[Product ID]],2)</f>
        <v>UK</v>
      </c>
    </row>
    <row r="9" spans="1:9" x14ac:dyDescent="0.25">
      <c r="A9" s="12" t="s">
        <v>50</v>
      </c>
      <c r="B9" s="12" t="s">
        <v>51</v>
      </c>
      <c r="C9" s="12" t="s">
        <v>52</v>
      </c>
      <c r="D9" s="12" t="str">
        <f>SOLUTIONS[[#This Row],[Brand Name]]&amp;" "&amp;SOLUTIONS[[#This Row],[Product Name]]</f>
        <v>Ninja Blender</v>
      </c>
      <c r="E9" s="13">
        <v>90</v>
      </c>
      <c r="F9">
        <v>35</v>
      </c>
      <c r="G9" s="14" t="s">
        <v>36</v>
      </c>
      <c r="H9" s="12" t="str">
        <f>LEFT(SOLUTIONS[[#This Row],[Product ID]],6)</f>
        <v>23-AUG</v>
      </c>
      <c r="I9" s="12" t="str">
        <f>RIGHT(SOLUTIONS[[#This Row],[Product ID]],2)</f>
        <v>UK</v>
      </c>
    </row>
    <row r="10" spans="1:9" x14ac:dyDescent="0.25">
      <c r="A10" s="12" t="s">
        <v>53</v>
      </c>
      <c r="B10" s="12" t="s">
        <v>54</v>
      </c>
      <c r="C10" s="12" t="s">
        <v>55</v>
      </c>
      <c r="D10" s="12" t="str">
        <f>SOLUTIONS[[#This Row],[Brand Name]]&amp;" "&amp;SOLUTIONS[[#This Row],[Product Name]]</f>
        <v>Apple Tablet</v>
      </c>
      <c r="E10" s="13">
        <v>500</v>
      </c>
      <c r="F10">
        <v>50</v>
      </c>
      <c r="G10" s="14" t="s">
        <v>28</v>
      </c>
      <c r="H10" s="12" t="str">
        <f>LEFT(SOLUTIONS[[#This Row],[Product ID]],6)</f>
        <v>05-SEP</v>
      </c>
      <c r="I10" s="12" t="str">
        <f>RIGHT(SOLUTIONS[[#This Row],[Product ID]],2)</f>
        <v>UK</v>
      </c>
    </row>
    <row r="11" spans="1:9" x14ac:dyDescent="0.25">
      <c r="A11" s="12" t="s">
        <v>56</v>
      </c>
      <c r="B11" s="12" t="s">
        <v>57</v>
      </c>
      <c r="C11" s="12" t="s">
        <v>58</v>
      </c>
      <c r="D11" s="12" t="str">
        <f>SOLUTIONS[[#This Row],[Brand Name]]&amp;" "&amp;SOLUTIONS[[#This Row],[Product Name]]</f>
        <v>Timberland Hiking Boots</v>
      </c>
      <c r="E11" s="13">
        <v>130</v>
      </c>
      <c r="F11">
        <v>10</v>
      </c>
      <c r="G11" s="14" t="s">
        <v>59</v>
      </c>
      <c r="H11" s="12" t="str">
        <f>LEFT(SOLUTIONS[[#This Row],[Product ID]],6)</f>
        <v>14-OCT</v>
      </c>
      <c r="I11" s="12" t="str">
        <f>RIGHT(SOLUTIONS[[#This Row],[Product ID]],2)</f>
        <v>UK</v>
      </c>
    </row>
    <row r="12" spans="1:9" x14ac:dyDescent="0.25">
      <c r="A12" s="12" t="s">
        <v>60</v>
      </c>
      <c r="B12" s="12" t="s">
        <v>61</v>
      </c>
      <c r="C12" s="12" t="s">
        <v>62</v>
      </c>
      <c r="D12" s="12" t="str">
        <f>SOLUTIONS[[#This Row],[Brand Name]]&amp;" "&amp;SOLUTIONS[[#This Row],[Product Name]]</f>
        <v>HP Laptop</v>
      </c>
      <c r="E12" s="13">
        <v>950</v>
      </c>
      <c r="F12">
        <v>25</v>
      </c>
      <c r="G12" s="14" t="s">
        <v>28</v>
      </c>
      <c r="H12" s="12" t="str">
        <f>LEFT(SOLUTIONS[[#This Row],[Product ID]],6)</f>
        <v>17-JUN</v>
      </c>
      <c r="I12" s="12" t="str">
        <f>RIGHT(SOLUTIONS[[#This Row],[Product ID]],2)</f>
        <v>IN</v>
      </c>
    </row>
    <row r="13" spans="1:9" x14ac:dyDescent="0.25">
      <c r="A13" s="12" t="s">
        <v>63</v>
      </c>
      <c r="B13" s="12" t="s">
        <v>30</v>
      </c>
      <c r="C13" s="12" t="s">
        <v>49</v>
      </c>
      <c r="D13" s="12" t="str">
        <f>SOLUTIONS[[#This Row],[Brand Name]]&amp;" "&amp;SOLUTIONS[[#This Row],[Product Name]]</f>
        <v>Adidas Sneakers</v>
      </c>
      <c r="E13" s="13">
        <v>90</v>
      </c>
      <c r="F13">
        <v>40</v>
      </c>
      <c r="G13" s="14" t="s">
        <v>75</v>
      </c>
      <c r="H13" s="12" t="str">
        <f>LEFT(SOLUTIONS[[#This Row],[Product ID]],6)</f>
        <v>25-NOV</v>
      </c>
      <c r="I13" s="12" t="str">
        <f>RIGHT(SOLUTIONS[[#This Row],[Product ID]],2)</f>
        <v>AU</v>
      </c>
    </row>
    <row r="14" spans="1:9" x14ac:dyDescent="0.25">
      <c r="A14" s="12" t="s">
        <v>64</v>
      </c>
      <c r="B14" s="12" t="s">
        <v>34</v>
      </c>
      <c r="C14" s="12" t="s">
        <v>65</v>
      </c>
      <c r="D14" s="12" t="str">
        <f>SOLUTIONS[[#This Row],[Brand Name]]&amp;" "&amp;SOLUTIONS[[#This Row],[Product Name]]</f>
        <v>Nespresso Coffee Maker</v>
      </c>
      <c r="E14" s="13">
        <v>120</v>
      </c>
      <c r="F14">
        <v>35</v>
      </c>
      <c r="G14" s="14" t="s">
        <v>36</v>
      </c>
      <c r="H14" s="12" t="str">
        <f>LEFT(SOLUTIONS[[#This Row],[Product ID]],6)</f>
        <v>08-DEC</v>
      </c>
      <c r="I14" s="12" t="str">
        <f>RIGHT(SOLUTIONS[[#This Row],[Product ID]],2)</f>
        <v>DE</v>
      </c>
    </row>
    <row r="15" spans="1:9" x14ac:dyDescent="0.25">
      <c r="A15" s="12" t="s">
        <v>66</v>
      </c>
      <c r="B15" s="12" t="s">
        <v>67</v>
      </c>
      <c r="C15" s="12" t="s">
        <v>68</v>
      </c>
      <c r="D15" s="12" t="str">
        <f>SOLUTIONS[[#This Row],[Brand Name]]&amp;" "&amp;SOLUTIONS[[#This Row],[Product Name]]</f>
        <v>Fitbit Smartwatch</v>
      </c>
      <c r="E15" s="13">
        <v>150</v>
      </c>
      <c r="F15">
        <v>15</v>
      </c>
      <c r="G15" s="14" t="s">
        <v>46</v>
      </c>
      <c r="H15" s="12" t="str">
        <f>LEFT(SOLUTIONS[[#This Row],[Product ID]],6)</f>
        <v>18-FEB</v>
      </c>
      <c r="I15" s="12" t="str">
        <f>RIGHT(SOLUTIONS[[#This Row],[Product ID]],2)</f>
        <v>CA</v>
      </c>
    </row>
    <row r="16" spans="1:9" x14ac:dyDescent="0.25">
      <c r="A16" s="12" t="s">
        <v>69</v>
      </c>
      <c r="B16" s="12" t="s">
        <v>44</v>
      </c>
      <c r="C16" s="12" t="s">
        <v>71</v>
      </c>
      <c r="D16" s="12" t="str">
        <f>SOLUTIONS[[#This Row],[Brand Name]]&amp;" "&amp;SOLUTIONS[[#This Row],[Product Name]]</f>
        <v>Bose Headphones</v>
      </c>
      <c r="E16" s="13">
        <v>250</v>
      </c>
      <c r="F16">
        <v>20</v>
      </c>
      <c r="G16" s="14" t="s">
        <v>46</v>
      </c>
      <c r="H16" s="12" t="str">
        <f>LEFT(SOLUTIONS[[#This Row],[Product ID]],6)</f>
        <v>16-APR</v>
      </c>
      <c r="I16" s="12" t="str">
        <f>RIGHT(SOLUTIONS[[#This Row],[Product ID]],2)</f>
        <v>ES</v>
      </c>
    </row>
    <row r="17" spans="1:9" x14ac:dyDescent="0.25">
      <c r="A17" s="12" t="s">
        <v>72</v>
      </c>
      <c r="B17" s="12" t="s">
        <v>73</v>
      </c>
      <c r="C17" s="12" t="s">
        <v>74</v>
      </c>
      <c r="D17" s="12" t="str">
        <f>SOLUTIONS[[#This Row],[Brand Name]]&amp;" "&amp;SOLUTIONS[[#This Row],[Product Name]]</f>
        <v>Samsonite Laptop Bag</v>
      </c>
      <c r="E17" s="13">
        <v>50</v>
      </c>
      <c r="F17">
        <v>35</v>
      </c>
      <c r="G17" s="14" t="s">
        <v>75</v>
      </c>
      <c r="H17" s="12" t="str">
        <f>LEFT(SOLUTIONS[[#This Row],[Product ID]],6)</f>
        <v>21-AUG</v>
      </c>
      <c r="I17" s="12" t="str">
        <f>RIGHT(SOLUTIONS[[#This Row],[Product ID]],2)</f>
        <v>CA</v>
      </c>
    </row>
    <row r="18" spans="1:9" x14ac:dyDescent="0.25">
      <c r="A18" s="12" t="s">
        <v>76</v>
      </c>
      <c r="B18" s="12" t="s">
        <v>67</v>
      </c>
      <c r="C18" s="12" t="s">
        <v>77</v>
      </c>
      <c r="D18" s="12" t="str">
        <f>SOLUTIONS[[#This Row],[Brand Name]]&amp;" "&amp;SOLUTIONS[[#This Row],[Product Name]]</f>
        <v>Huawei Smartwatch</v>
      </c>
      <c r="E18" s="13">
        <v>160</v>
      </c>
      <c r="F18">
        <v>15</v>
      </c>
      <c r="G18" s="14" t="s">
        <v>46</v>
      </c>
      <c r="H18" s="12" t="str">
        <f>LEFT(SOLUTIONS[[#This Row],[Product ID]],6)</f>
        <v>20-AUG</v>
      </c>
      <c r="I18" s="12" t="str">
        <f>RIGHT(SOLUTIONS[[#This Row],[Product ID]],2)</f>
        <v>CN</v>
      </c>
    </row>
    <row r="19" spans="1:9" x14ac:dyDescent="0.25">
      <c r="A19" s="12" t="s">
        <v>78</v>
      </c>
      <c r="B19" s="12" t="s">
        <v>61</v>
      </c>
      <c r="C19" s="12" t="s">
        <v>79</v>
      </c>
      <c r="D19" s="12" t="str">
        <f>SOLUTIONS[[#This Row],[Brand Name]]&amp;" "&amp;SOLUTIONS[[#This Row],[Product Name]]</f>
        <v>Asus Laptop</v>
      </c>
      <c r="E19" s="13">
        <v>980</v>
      </c>
      <c r="F19">
        <v>10</v>
      </c>
      <c r="G19" s="14" t="s">
        <v>28</v>
      </c>
      <c r="H19" s="12" t="str">
        <f>LEFT(SOLUTIONS[[#This Row],[Product ID]],6)</f>
        <v>27-JAN</v>
      </c>
      <c r="I19" s="12" t="str">
        <f>RIGHT(SOLUTIONS[[#This Row],[Product ID]],2)</f>
        <v>IT</v>
      </c>
    </row>
    <row r="20" spans="1:9" x14ac:dyDescent="0.25">
      <c r="A20" s="12" t="s">
        <v>80</v>
      </c>
      <c r="B20" s="12" t="s">
        <v>81</v>
      </c>
      <c r="C20" s="12" t="s">
        <v>82</v>
      </c>
      <c r="D20" s="12" t="str">
        <f>SOLUTIONS[[#This Row],[Brand Name]]&amp;" "&amp;SOLUTIONS[[#This Row],[Product Name]]</f>
        <v>Oakley Sunglasses</v>
      </c>
      <c r="E20" s="13">
        <v>150</v>
      </c>
      <c r="F20">
        <v>15</v>
      </c>
      <c r="G20" s="14" t="s">
        <v>32</v>
      </c>
      <c r="H20" s="12" t="str">
        <f>LEFT(SOLUTIONS[[#This Row],[Product ID]],6)</f>
        <v>01-MAR</v>
      </c>
      <c r="I20" s="12" t="str">
        <f>RIGHT(SOLUTIONS[[#This Row],[Product ID]],2)</f>
        <v>UK</v>
      </c>
    </row>
    <row r="21" spans="1:9" x14ac:dyDescent="0.25">
      <c r="A21" s="12" t="s">
        <v>83</v>
      </c>
      <c r="B21" s="12" t="s">
        <v>84</v>
      </c>
      <c r="C21" s="12" t="s">
        <v>85</v>
      </c>
      <c r="D21" s="12" t="str">
        <f>SOLUTIONS[[#This Row],[Brand Name]]&amp;" "&amp;SOLUTIONS[[#This Row],[Product Name]]</f>
        <v>Coleman Camping Tent</v>
      </c>
      <c r="E21" s="13">
        <v>130</v>
      </c>
      <c r="F21">
        <v>10</v>
      </c>
      <c r="G21" s="14" t="s">
        <v>59</v>
      </c>
      <c r="H21" s="12" t="str">
        <f>LEFT(SOLUTIONS[[#This Row],[Product ID]],6)</f>
        <v>14-AUG</v>
      </c>
      <c r="I21" s="12" t="str">
        <f>RIGHT(SOLUTIONS[[#This Row],[Product ID]],2)</f>
        <v>US</v>
      </c>
    </row>
    <row r="22" spans="1:9" x14ac:dyDescent="0.25">
      <c r="A22" s="12" t="s">
        <v>86</v>
      </c>
      <c r="B22" s="12" t="s">
        <v>87</v>
      </c>
      <c r="C22" s="12" t="s">
        <v>88</v>
      </c>
      <c r="D22" s="12" t="str">
        <f>SOLUTIONS[[#This Row],[Brand Name]]&amp;" "&amp;SOLUTIONS[[#This Row],[Product Name]]</f>
        <v>Nikon Camera</v>
      </c>
      <c r="E22" s="13">
        <v>700</v>
      </c>
      <c r="F22">
        <v>50</v>
      </c>
      <c r="G22" s="14" t="s">
        <v>28</v>
      </c>
      <c r="H22" s="12" t="str">
        <f>LEFT(SOLUTIONS[[#This Row],[Product ID]],6)</f>
        <v>14-MAY</v>
      </c>
      <c r="I22" s="12" t="str">
        <f>RIGHT(SOLUTIONS[[#This Row],[Product ID]],2)</f>
        <v>RU</v>
      </c>
    </row>
    <row r="23" spans="1:9" x14ac:dyDescent="0.25">
      <c r="A23" s="12" t="s">
        <v>89</v>
      </c>
      <c r="B23" s="12" t="s">
        <v>90</v>
      </c>
      <c r="C23" s="12" t="s">
        <v>91</v>
      </c>
      <c r="D23" s="12" t="str">
        <f>SOLUTIONS[[#This Row],[Brand Name]]&amp;" "&amp;SOLUTIONS[[#This Row],[Product Name]]</f>
        <v>Panasonic Microwave</v>
      </c>
      <c r="E23" s="13">
        <v>80</v>
      </c>
      <c r="F23">
        <v>20</v>
      </c>
      <c r="G23" s="14" t="s">
        <v>36</v>
      </c>
      <c r="H23" s="12" t="str">
        <f>LEFT(SOLUTIONS[[#This Row],[Product ID]],6)</f>
        <v>09-JAN</v>
      </c>
      <c r="I23" s="12" t="str">
        <f>RIGHT(SOLUTIONS[[#This Row],[Product ID]],2)</f>
        <v>CA</v>
      </c>
    </row>
    <row r="24" spans="1:9" x14ac:dyDescent="0.25">
      <c r="A24" s="12" t="s">
        <v>92</v>
      </c>
      <c r="B24" s="12" t="s">
        <v>93</v>
      </c>
      <c r="C24" s="12" t="s">
        <v>94</v>
      </c>
      <c r="D24" s="12" t="str">
        <f>SOLUTIONS[[#This Row],[Brand Name]]&amp;" "&amp;SOLUTIONS[[#This Row],[Product Name]]</f>
        <v>Xiaomi Fitness Tracker</v>
      </c>
      <c r="E24" s="13">
        <v>150</v>
      </c>
      <c r="F24">
        <v>30</v>
      </c>
      <c r="G24" s="14" t="s">
        <v>28</v>
      </c>
      <c r="H24" s="12" t="str">
        <f>LEFT(SOLUTIONS[[#This Row],[Product ID]],6)</f>
        <v>19-JUL</v>
      </c>
      <c r="I24" s="12" t="str">
        <f>RIGHT(SOLUTIONS[[#This Row],[Product ID]],2)</f>
        <v>BR</v>
      </c>
    </row>
    <row r="25" spans="1:9" x14ac:dyDescent="0.25">
      <c r="A25" s="12" t="s">
        <v>95</v>
      </c>
      <c r="B25" s="12" t="s">
        <v>96</v>
      </c>
      <c r="C25" s="12" t="s">
        <v>97</v>
      </c>
      <c r="D25" s="12" t="str">
        <f>SOLUTIONS[[#This Row],[Brand Name]]&amp;" "&amp;SOLUTIONS[[#This Row],[Product Name]]</f>
        <v>Google Smartphone</v>
      </c>
      <c r="E25" s="13">
        <v>800</v>
      </c>
      <c r="F25">
        <v>45</v>
      </c>
      <c r="G25" s="14" t="s">
        <v>28</v>
      </c>
      <c r="H25" s="12" t="str">
        <f>LEFT(SOLUTIONS[[#This Row],[Product ID]],6)</f>
        <v>29-SEP</v>
      </c>
      <c r="I25" s="12" t="str">
        <f>RIGHT(SOLUTIONS[[#This Row],[Product ID]],2)</f>
        <v>CA</v>
      </c>
    </row>
    <row r="26" spans="1:9" x14ac:dyDescent="0.25">
      <c r="A26" s="12" t="s">
        <v>98</v>
      </c>
      <c r="B26" s="12" t="s">
        <v>81</v>
      </c>
      <c r="C26" s="12" t="s">
        <v>99</v>
      </c>
      <c r="D26" s="12" t="str">
        <f>SOLUTIONS[[#This Row],[Brand Name]]&amp;" "&amp;SOLUTIONS[[#This Row],[Product Name]]</f>
        <v>Ray-Ban Sunglasses</v>
      </c>
      <c r="E26" s="13">
        <v>130</v>
      </c>
      <c r="F26">
        <v>25</v>
      </c>
      <c r="G26" s="14" t="s">
        <v>32</v>
      </c>
      <c r="H26" s="12" t="str">
        <f>LEFT(SOLUTIONS[[#This Row],[Product ID]],6)</f>
        <v>03-JUN</v>
      </c>
      <c r="I26" s="12" t="str">
        <f>RIGHT(SOLUTIONS[[#This Row],[Product ID]],2)</f>
        <v>CA</v>
      </c>
    </row>
    <row r="27" spans="1:9" x14ac:dyDescent="0.25">
      <c r="A27" s="12" t="s">
        <v>100</v>
      </c>
      <c r="B27" s="12" t="s">
        <v>51</v>
      </c>
      <c r="C27" s="12" t="s">
        <v>101</v>
      </c>
      <c r="D27" s="12" t="str">
        <f>SOLUTIONS[[#This Row],[Brand Name]]&amp;" "&amp;SOLUTIONS[[#This Row],[Product Name]]</f>
        <v>Vitamix Blender</v>
      </c>
      <c r="E27" s="13">
        <v>400</v>
      </c>
      <c r="F27">
        <v>40</v>
      </c>
      <c r="G27" s="14" t="s">
        <v>36</v>
      </c>
      <c r="H27" s="12" t="str">
        <f>LEFT(SOLUTIONS[[#This Row],[Product ID]],6)</f>
        <v>11-JUL</v>
      </c>
      <c r="I27" s="12" t="str">
        <f>RIGHT(SOLUTIONS[[#This Row],[Product ID]],2)</f>
        <v>CA</v>
      </c>
    </row>
    <row r="28" spans="1:9" x14ac:dyDescent="0.25">
      <c r="A28" s="12" t="s">
        <v>102</v>
      </c>
      <c r="B28" s="12" t="s">
        <v>103</v>
      </c>
      <c r="C28" s="12" t="s">
        <v>104</v>
      </c>
      <c r="D28" s="12" t="str">
        <f>SOLUTIONS[[#This Row],[Brand Name]]&amp;" "&amp;SOLUTIONS[[#This Row],[Product Name]]</f>
        <v>Zara Dress</v>
      </c>
      <c r="E28" s="13">
        <v>60</v>
      </c>
      <c r="F28">
        <v>30</v>
      </c>
      <c r="G28" s="14" t="s">
        <v>32</v>
      </c>
      <c r="H28" s="12" t="str">
        <f>LEFT(SOLUTIONS[[#This Row],[Product ID]],6)</f>
        <v>07-MAR</v>
      </c>
      <c r="I28" s="12" t="str">
        <f>RIGHT(SOLUTIONS[[#This Row],[Product ID]],2)</f>
        <v>CA</v>
      </c>
    </row>
    <row r="29" spans="1:9" x14ac:dyDescent="0.25">
      <c r="A29" s="12" t="s">
        <v>105</v>
      </c>
      <c r="B29" s="12" t="s">
        <v>106</v>
      </c>
      <c r="C29" s="12" t="s">
        <v>107</v>
      </c>
      <c r="D29" s="12" t="str">
        <f>SOLUTIONS[[#This Row],[Brand Name]]&amp;" "&amp;SOLUTIONS[[#This Row],[Product Name]]</f>
        <v>Hamilton Toaster</v>
      </c>
      <c r="E29" s="13">
        <v>40</v>
      </c>
      <c r="F29">
        <v>10</v>
      </c>
      <c r="G29" s="14" t="s">
        <v>36</v>
      </c>
      <c r="H29" s="12" t="str">
        <f>LEFT(SOLUTIONS[[#This Row],[Product ID]],6)</f>
        <v>13-APR</v>
      </c>
      <c r="I29" s="12" t="str">
        <f>RIGHT(SOLUTIONS[[#This Row],[Product ID]],2)</f>
        <v>CA</v>
      </c>
    </row>
    <row r="30" spans="1:9" x14ac:dyDescent="0.25">
      <c r="A30" s="12" t="s">
        <v>108</v>
      </c>
      <c r="B30" s="12" t="s">
        <v>93</v>
      </c>
      <c r="C30" s="12" t="s">
        <v>109</v>
      </c>
      <c r="D30" s="12" t="str">
        <f>SOLUTIONS[[#This Row],[Brand Name]]&amp;" "&amp;SOLUTIONS[[#This Row],[Product Name]]</f>
        <v>Garmin Fitness Tracker</v>
      </c>
      <c r="E30" s="13">
        <v>130</v>
      </c>
      <c r="F30">
        <v>5</v>
      </c>
      <c r="G30" s="14" t="s">
        <v>28</v>
      </c>
      <c r="H30" s="12" t="str">
        <f>LEFT(SOLUTIONS[[#This Row],[Product ID]],6)</f>
        <v>24-MAY</v>
      </c>
      <c r="I30" s="12" t="str">
        <f>RIGHT(SOLUTIONS[[#This Row],[Product ID]],2)</f>
        <v>CA</v>
      </c>
    </row>
    <row r="31" spans="1:9" x14ac:dyDescent="0.25">
      <c r="A31" s="12" t="s">
        <v>110</v>
      </c>
      <c r="B31" s="12" t="s">
        <v>111</v>
      </c>
      <c r="C31" s="12" t="s">
        <v>112</v>
      </c>
      <c r="D31" s="12" t="str">
        <f>SOLUTIONS[[#This Row],[Brand Name]]&amp;" "&amp;SOLUTIONS[[#This Row],[Product Name]]</f>
        <v>Levi's Jeans</v>
      </c>
      <c r="E31" s="13">
        <v>50</v>
      </c>
      <c r="F31">
        <v>50</v>
      </c>
      <c r="G31" s="14" t="s">
        <v>32</v>
      </c>
      <c r="H31" s="12" t="str">
        <f>LEFT(SOLUTIONS[[#This Row],[Product ID]],6)</f>
        <v>02-DEC</v>
      </c>
      <c r="I31" s="12" t="str">
        <f>RIGHT(SOLUTIONS[[#This Row],[Product ID]],2)</f>
        <v>CA</v>
      </c>
    </row>
    <row r="32" spans="1:9" x14ac:dyDescent="0.25">
      <c r="A32" s="12" t="s">
        <v>113</v>
      </c>
      <c r="B32" s="12" t="s">
        <v>114</v>
      </c>
      <c r="C32" s="12" t="s">
        <v>115</v>
      </c>
      <c r="D32" s="12" t="str">
        <f>SOLUTIONS[[#This Row],[Brand Name]]&amp;" "&amp;SOLUTIONS[[#This Row],[Product Name]]</f>
        <v>Casio Watch</v>
      </c>
      <c r="E32" s="13">
        <v>100</v>
      </c>
      <c r="F32">
        <v>20</v>
      </c>
      <c r="G32" s="14" t="s">
        <v>75</v>
      </c>
      <c r="H32" s="12" t="str">
        <f>LEFT(SOLUTIONS[[#This Row],[Product ID]],6)</f>
        <v>09-JUL</v>
      </c>
      <c r="I32" s="12" t="str">
        <f>RIGHT(SOLUTIONS[[#This Row],[Product ID]],2)</f>
        <v>FR</v>
      </c>
    </row>
    <row r="33" spans="1:9" x14ac:dyDescent="0.25">
      <c r="A33" s="12"/>
      <c r="B33" s="12"/>
      <c r="C33" s="12"/>
      <c r="D33" s="12" t="str">
        <f>SOLUTIONS[[#This Row],[Brand Name]]&amp;" "&amp;SOLUTIONS[[#This Row],[Product Name]]</f>
        <v xml:space="preserve"> </v>
      </c>
      <c r="E33" s="13"/>
      <c r="H33" s="12" t="str">
        <f>LEFT(SOLUTIONS[[#This Row],[Product ID]],6)</f>
        <v/>
      </c>
      <c r="I33" s="12" t="str">
        <f>RIGHT(SOLUTIONS[[#This Row],[Product ID]],2)</f>
        <v/>
      </c>
    </row>
    <row r="34" spans="1:9" x14ac:dyDescent="0.25">
      <c r="A34" s="12"/>
      <c r="B34" s="12"/>
      <c r="C34" s="12"/>
      <c r="D34" s="12" t="str">
        <f>SOLUTIONS[[#This Row],[Brand Name]]&amp;" "&amp;SOLUTIONS[[#This Row],[Product Name]]</f>
        <v xml:space="preserve"> </v>
      </c>
      <c r="E34" s="13"/>
      <c r="H34" s="12" t="str">
        <f>LEFT(SOLUTIONS[[#This Row],[Product ID]],6)</f>
        <v/>
      </c>
      <c r="I34" s="12" t="str">
        <f>RIGHT(SOLUTIONS[[#This Row],[Product ID]],2)</f>
        <v/>
      </c>
    </row>
    <row r="35" spans="1:9" x14ac:dyDescent="0.25">
      <c r="A35" s="12"/>
      <c r="B35" s="12"/>
      <c r="C35" s="12"/>
      <c r="D35" s="12" t="str">
        <f>SOLUTIONS[[#This Row],[Brand Name]]&amp;" "&amp;SOLUTIONS[[#This Row],[Product Name]]</f>
        <v xml:space="preserve"> </v>
      </c>
      <c r="E35" s="13"/>
      <c r="H35" s="12" t="str">
        <f>LEFT(SOLUTIONS[[#This Row],[Product ID]],6)</f>
        <v/>
      </c>
      <c r="I35" s="12" t="str">
        <f>RIGHT(SOLUTIONS[[#This Row],[Product ID]],2)</f>
        <v/>
      </c>
    </row>
  </sheetData>
  <conditionalFormatting sqref="E1:E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G1:G1048576">
    <cfRule type="containsText" dxfId="8" priority="1" operator="containsText" text="Electronics">
      <formula>NOT(ISERROR(SEARCH("Electronics",G1)))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C45514-C4B4-4598-AE07-DB9076292A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2026-10-07T02:09:44Z</dcterms:modified>
</cp:coreProperties>
</file>